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3A91EEE2-1959-4F1F-BF32-8BC21445B582}" xr6:coauthVersionLast="47" xr6:coauthVersionMax="47" xr10:uidLastSave="{00000000-0000-0000-0000-000000000000}"/>
  <bookViews>
    <workbookView minimized="1" xWindow="-34050" yWindow="390" windowWidth="28800" windowHeight="15885" xr2:uid="{00000000-000D-0000-FFFF-FFFF00000000}"/>
  </bookViews>
  <sheets>
    <sheet name="AHP Weight Assign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8" i="1" l="1"/>
  <c r="C13" i="1"/>
  <c r="C10" i="1"/>
  <c r="C14" i="1"/>
  <c r="C15" i="1"/>
  <c r="C16" i="1"/>
  <c r="C17" i="1"/>
  <c r="E21" i="1"/>
  <c r="B21" i="1"/>
  <c r="G10" i="1"/>
  <c r="G17" i="1" s="1"/>
  <c r="F10" i="1"/>
  <c r="F17" i="1" s="1"/>
  <c r="E10" i="1"/>
  <c r="E16" i="1" s="1"/>
  <c r="D10" i="1"/>
  <c r="D15" i="1" s="1"/>
  <c r="G8" i="1"/>
  <c r="G16" i="1" s="1"/>
  <c r="G7" i="1"/>
  <c r="G15" i="1" s="1"/>
  <c r="F7" i="1"/>
  <c r="G6" i="1"/>
  <c r="F6" i="1"/>
  <c r="E6" i="1"/>
  <c r="G5" i="1"/>
  <c r="F5" i="1"/>
  <c r="E5" i="1"/>
  <c r="D5" i="1"/>
  <c r="C18" i="1" l="1"/>
  <c r="D13" i="1"/>
  <c r="E13" i="1"/>
  <c r="G13" i="1"/>
  <c r="E14" i="1"/>
  <c r="G14" i="1"/>
  <c r="F13" i="1"/>
  <c r="F15" i="1"/>
  <c r="F14" i="1"/>
  <c r="D17" i="1"/>
  <c r="E15" i="1"/>
  <c r="E18" i="1" s="1"/>
  <c r="E17" i="1"/>
  <c r="D16" i="1"/>
  <c r="D14" i="1"/>
  <c r="D18" i="1" s="1"/>
  <c r="F16" i="1"/>
  <c r="F18" i="1" l="1"/>
  <c r="G18" i="1"/>
  <c r="H14" i="1"/>
  <c r="I14" i="1"/>
  <c r="I17" i="1"/>
  <c r="H17" i="1"/>
  <c r="I16" i="1"/>
  <c r="H16" i="1"/>
  <c r="I13" i="1"/>
  <c r="H13" i="1"/>
  <c r="I15" i="1"/>
  <c r="H15" i="1"/>
  <c r="C21" i="1" l="1"/>
  <c r="D21" i="1" s="1"/>
  <c r="F21" i="1" s="1"/>
  <c r="G21" i="1" s="1"/>
  <c r="H18" i="1"/>
</calcChain>
</file>

<file path=xl/sharedStrings.xml><?xml version="1.0" encoding="utf-8"?>
<sst xmlns="http://schemas.openxmlformats.org/spreadsheetml/2006/main" count="37" uniqueCount="18">
  <si>
    <t>AHP Example - Weight Assignment</t>
  </si>
  <si>
    <t>WORKERS</t>
  </si>
  <si>
    <t>CONSUMERS</t>
  </si>
  <si>
    <t>GENERAL SOCIETY</t>
  </si>
  <si>
    <t>LOCAL COMMUNITY</t>
  </si>
  <si>
    <t>VALUE CHAIN ACTORS</t>
  </si>
  <si>
    <t>Total</t>
  </si>
  <si>
    <t>Normalized Matrix</t>
  </si>
  <si>
    <t>Average</t>
  </si>
  <si>
    <t>n</t>
  </si>
  <si>
    <t>Lambda max</t>
  </si>
  <si>
    <t>CI</t>
  </si>
  <si>
    <t>RI</t>
  </si>
  <si>
    <t>CR</t>
  </si>
  <si>
    <t>Consistency Check</t>
  </si>
  <si>
    <t>Editable inputs are highlighted in yellow. Upper-triangular cells are calculated automatically as reciprocals of the corresponding lower-triangular inputs.</t>
  </si>
  <si>
    <t>If CR &lt; 0.10, the pairwise comparison matrix is considered acceptably consistent.</t>
  </si>
  <si>
    <t>Categories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</si>
</sst>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b/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A3D8"/>
      </patternFill>
    </fill>
    <fill>
      <patternFill patternType="solid">
        <fgColor rgb="FFDCECF7"/>
      </patternFill>
    </fill>
    <fill>
      <patternFill patternType="solid">
        <fgColor rgb="FFFFF36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3" fillId="3" borderId="0" xfId="1" applyFont="1" applyFill="1"/>
    <xf numFmtId="0" fontId="3" fillId="3" borderId="0" xfId="1" applyFont="1" applyFill="1" applyAlignment="1">
      <alignment horizontal="center" wrapText="1"/>
    </xf>
    <xf numFmtId="2" fontId="0" fillId="0" borderId="0" xfId="1" applyNumberFormat="1" applyFont="1" applyAlignment="1">
      <alignment horizontal="center"/>
    </xf>
    <xf numFmtId="2" fontId="0" fillId="0" borderId="0" xfId="1" applyNumberFormat="1" applyFont="1" applyAlignment="1">
      <alignment horizontal="center" vertical="center"/>
    </xf>
    <xf numFmtId="2" fontId="0" fillId="4" borderId="0" xfId="1" applyNumberFormat="1" applyFont="1" applyFill="1" applyAlignment="1">
      <alignment horizontal="center" vertical="center"/>
    </xf>
    <xf numFmtId="2" fontId="3" fillId="3" borderId="0" xfId="1" applyNumberFormat="1" applyFont="1" applyFill="1" applyAlignment="1">
      <alignment horizontal="center"/>
    </xf>
    <xf numFmtId="0" fontId="3" fillId="3" borderId="0" xfId="1" applyFont="1" applyFill="1" applyAlignment="1">
      <alignment horizontal="center"/>
    </xf>
    <xf numFmtId="2" fontId="2" fillId="2" borderId="0" xfId="1" applyNumberFormat="1" applyFont="1" applyFill="1" applyAlignment="1">
      <alignment horizontal="center"/>
    </xf>
    <xf numFmtId="2" fontId="3" fillId="0" borderId="0" xfId="1" applyNumberFormat="1" applyFont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wrapText="1"/>
    </xf>
    <xf numFmtId="0" fontId="2" fillId="2" borderId="0" xfId="1" applyFont="1" applyFill="1" applyAlignment="1">
      <alignment horizontal="center" wrapText="1"/>
    </xf>
    <xf numFmtId="0" fontId="5" fillId="3" borderId="0" xfId="1" applyFont="1" applyFill="1" applyAlignment="1">
      <alignment horizontal="center" wrapText="1"/>
    </xf>
  </cellXfs>
  <cellStyles count="2">
    <cellStyle name="Normal" xfId="1" xr:uid="{00000000-0005-0000-0000-000000000000}"/>
    <cellStyle name="Normale" xfId="0" builtinId="0"/>
  </cellStyles>
  <dxfs count="2">
    <dxf>
      <font>
        <b/>
      </font>
      <fill>
        <patternFill patternType="solid">
          <bgColor rgb="FFFEE2E2"/>
        </patternFill>
      </fill>
    </dxf>
    <dxf>
      <font>
        <b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3"/>
  <sheetViews>
    <sheetView tabSelected="1" zoomScale="130" zoomScaleNormal="130" workbookViewId="0">
      <selection activeCell="C21" sqref="C21"/>
    </sheetView>
  </sheetViews>
  <sheetFormatPr defaultRowHeight="14.25"/>
  <cols>
    <col min="1" max="1" width="4" customWidth="1"/>
    <col min="2" max="2" width="24" customWidth="1"/>
    <col min="3" max="4" width="13" customWidth="1"/>
    <col min="5" max="5" width="16" customWidth="1"/>
    <col min="6" max="7" width="18" customWidth="1"/>
    <col min="8" max="9" width="12" customWidth="1"/>
    <col min="10" max="10" width="3" customWidth="1"/>
    <col min="11" max="12" width="8" customWidth="1"/>
    <col min="13" max="13" width="12" customWidth="1"/>
  </cols>
  <sheetData>
    <row r="1" spans="2:9" ht="24" customHeight="1">
      <c r="B1" s="10" t="s">
        <v>0</v>
      </c>
      <c r="C1" s="10"/>
      <c r="D1" s="10"/>
      <c r="E1" s="10"/>
      <c r="F1" s="10"/>
      <c r="G1" s="10"/>
      <c r="H1" s="10"/>
      <c r="I1" s="10"/>
    </row>
    <row r="2" spans="2:9" ht="15.75" customHeight="1"/>
    <row r="3" spans="2:9" ht="15" customHeight="1"/>
    <row r="4" spans="2:9" ht="30">
      <c r="B4" s="12" t="s">
        <v>17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2:9" ht="20.100000000000001" customHeight="1">
      <c r="B5" s="1" t="s">
        <v>1</v>
      </c>
      <c r="C5" s="4">
        <v>1</v>
      </c>
      <c r="D5" s="4">
        <f>1/C6</f>
        <v>0.5</v>
      </c>
      <c r="E5" s="4">
        <f>1/C7</f>
        <v>0.5</v>
      </c>
      <c r="F5" s="4">
        <f>1/C8</f>
        <v>0.5</v>
      </c>
      <c r="G5" s="4">
        <f>1/C9</f>
        <v>0.5</v>
      </c>
    </row>
    <row r="6" spans="2:9" ht="20.100000000000001" customHeight="1">
      <c r="B6" s="1" t="s">
        <v>2</v>
      </c>
      <c r="C6" s="5">
        <v>2</v>
      </c>
      <c r="D6" s="4">
        <v>1</v>
      </c>
      <c r="E6" s="4">
        <f>1/D7</f>
        <v>0.5</v>
      </c>
      <c r="F6" s="4">
        <f>1/D8</f>
        <v>0.5</v>
      </c>
      <c r="G6" s="4">
        <f>1/D9</f>
        <v>0.5</v>
      </c>
    </row>
    <row r="7" spans="2:9" ht="20.100000000000001" customHeight="1">
      <c r="B7" s="1" t="s">
        <v>3</v>
      </c>
      <c r="C7" s="5">
        <v>2</v>
      </c>
      <c r="D7" s="5">
        <v>2</v>
      </c>
      <c r="E7" s="4">
        <v>1</v>
      </c>
      <c r="F7" s="4">
        <f>1/E8</f>
        <v>2</v>
      </c>
      <c r="G7" s="4">
        <f>1/E9</f>
        <v>0.5</v>
      </c>
    </row>
    <row r="8" spans="2:9" ht="20.100000000000001" customHeight="1">
      <c r="B8" s="1" t="s">
        <v>4</v>
      </c>
      <c r="C8" s="5">
        <v>2</v>
      </c>
      <c r="D8" s="5">
        <v>2</v>
      </c>
      <c r="E8" s="5">
        <v>0.5</v>
      </c>
      <c r="F8" s="4">
        <v>1</v>
      </c>
      <c r="G8" s="4">
        <f>1/F9</f>
        <v>0.5</v>
      </c>
    </row>
    <row r="9" spans="2:9" ht="20.100000000000001" customHeight="1">
      <c r="B9" s="1" t="s">
        <v>5</v>
      </c>
      <c r="C9" s="5">
        <v>2</v>
      </c>
      <c r="D9" s="5">
        <v>2</v>
      </c>
      <c r="E9" s="5">
        <v>2</v>
      </c>
      <c r="F9" s="5">
        <v>2</v>
      </c>
      <c r="G9" s="4">
        <v>1</v>
      </c>
    </row>
    <row r="10" spans="2:9" ht="15">
      <c r="B10" s="1" t="s">
        <v>6</v>
      </c>
      <c r="C10" s="6">
        <f>SUM(C5:C9)</f>
        <v>9</v>
      </c>
      <c r="D10" s="6">
        <f>SUM(D5:D9)</f>
        <v>7.5</v>
      </c>
      <c r="E10" s="6">
        <f>SUM(E5:E9)</f>
        <v>4.5</v>
      </c>
      <c r="F10" s="6">
        <f>SUM(F5:F9)</f>
        <v>6</v>
      </c>
      <c r="G10" s="6">
        <f>SUM(G5:G9)</f>
        <v>3</v>
      </c>
    </row>
    <row r="12" spans="2:9" ht="30">
      <c r="B12" s="12" t="s">
        <v>7</v>
      </c>
      <c r="C12" s="1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8</v>
      </c>
    </row>
    <row r="13" spans="2:9" ht="15">
      <c r="B13" s="1" t="s">
        <v>1</v>
      </c>
      <c r="C13" s="3">
        <f t="shared" ref="C13:G17" si="0">C5/C$10</f>
        <v>0.1111111111111111</v>
      </c>
      <c r="D13" s="3">
        <f t="shared" si="0"/>
        <v>6.6666666666666666E-2</v>
      </c>
      <c r="E13" s="3">
        <f t="shared" si="0"/>
        <v>0.1111111111111111</v>
      </c>
      <c r="F13" s="3">
        <f t="shared" si="0"/>
        <v>8.3333333333333329E-2</v>
      </c>
      <c r="G13" s="3">
        <f t="shared" si="0"/>
        <v>0.16666666666666666</v>
      </c>
      <c r="H13" s="3">
        <f>SUM(C13:G13)</f>
        <v>0.53888888888888886</v>
      </c>
      <c r="I13" s="3">
        <f>AVERAGE(C13:G13)</f>
        <v>0.10777777777777778</v>
      </c>
    </row>
    <row r="14" spans="2:9" ht="15">
      <c r="B14" s="1" t="s">
        <v>2</v>
      </c>
      <c r="C14" s="3">
        <f t="shared" si="0"/>
        <v>0.22222222222222221</v>
      </c>
      <c r="D14" s="3">
        <f t="shared" si="0"/>
        <v>0.13333333333333333</v>
      </c>
      <c r="E14" s="3">
        <f t="shared" si="0"/>
        <v>0.1111111111111111</v>
      </c>
      <c r="F14" s="3">
        <f t="shared" si="0"/>
        <v>8.3333333333333329E-2</v>
      </c>
      <c r="G14" s="3">
        <f t="shared" si="0"/>
        <v>0.16666666666666666</v>
      </c>
      <c r="H14" s="3">
        <f>SUM(C14:G14)</f>
        <v>0.71666666666666656</v>
      </c>
      <c r="I14" s="3">
        <f>AVERAGE(C14:G14)</f>
        <v>0.14333333333333331</v>
      </c>
    </row>
    <row r="15" spans="2:9" ht="15">
      <c r="B15" s="1" t="s">
        <v>3</v>
      </c>
      <c r="C15" s="3">
        <f t="shared" si="0"/>
        <v>0.22222222222222221</v>
      </c>
      <c r="D15" s="3">
        <f t="shared" si="0"/>
        <v>0.26666666666666666</v>
      </c>
      <c r="E15" s="3">
        <f t="shared" si="0"/>
        <v>0.22222222222222221</v>
      </c>
      <c r="F15" s="3">
        <f t="shared" si="0"/>
        <v>0.33333333333333331</v>
      </c>
      <c r="G15" s="3">
        <f t="shared" si="0"/>
        <v>0.16666666666666666</v>
      </c>
      <c r="H15" s="3">
        <f>SUM(C15:G15)</f>
        <v>1.211111111111111</v>
      </c>
      <c r="I15" s="3">
        <f>AVERAGE(C15:G15)</f>
        <v>0.2422222222222222</v>
      </c>
    </row>
    <row r="16" spans="2:9" ht="15">
      <c r="B16" s="1" t="s">
        <v>4</v>
      </c>
      <c r="C16" s="3">
        <f t="shared" si="0"/>
        <v>0.22222222222222221</v>
      </c>
      <c r="D16" s="3">
        <f t="shared" si="0"/>
        <v>0.26666666666666666</v>
      </c>
      <c r="E16" s="3">
        <f t="shared" si="0"/>
        <v>0.1111111111111111</v>
      </c>
      <c r="F16" s="3">
        <f t="shared" si="0"/>
        <v>0.16666666666666666</v>
      </c>
      <c r="G16" s="3">
        <f t="shared" si="0"/>
        <v>0.16666666666666666</v>
      </c>
      <c r="H16" s="3">
        <f>SUM(C16:G16)</f>
        <v>0.93333333333333324</v>
      </c>
      <c r="I16" s="3">
        <f>AVERAGE(C16:G16)</f>
        <v>0.18666666666666665</v>
      </c>
    </row>
    <row r="17" spans="2:12" ht="15">
      <c r="B17" s="1" t="s">
        <v>5</v>
      </c>
      <c r="C17" s="3">
        <f t="shared" si="0"/>
        <v>0.22222222222222221</v>
      </c>
      <c r="D17" s="3">
        <f t="shared" si="0"/>
        <v>0.26666666666666666</v>
      </c>
      <c r="E17" s="3">
        <f t="shared" si="0"/>
        <v>0.44444444444444442</v>
      </c>
      <c r="F17" s="3">
        <f t="shared" si="0"/>
        <v>0.33333333333333331</v>
      </c>
      <c r="G17" s="3">
        <f t="shared" si="0"/>
        <v>0.33333333333333331</v>
      </c>
      <c r="H17" s="3">
        <f>SUM(C17:G17)</f>
        <v>1.5999999999999999</v>
      </c>
      <c r="I17" s="3">
        <f>AVERAGE(C17:G17)</f>
        <v>0.31999999999999995</v>
      </c>
    </row>
    <row r="18" spans="2:12" ht="15">
      <c r="B18" s="1" t="s">
        <v>6</v>
      </c>
      <c r="C18" s="6">
        <f t="shared" ref="C18:H18" si="1">SUM(C13:C17)</f>
        <v>1</v>
      </c>
      <c r="D18" s="6">
        <f t="shared" si="1"/>
        <v>1</v>
      </c>
      <c r="E18" s="6">
        <f t="shared" si="1"/>
        <v>1</v>
      </c>
      <c r="F18" s="6">
        <f t="shared" si="1"/>
        <v>1</v>
      </c>
      <c r="G18" s="6">
        <f t="shared" si="1"/>
        <v>1</v>
      </c>
      <c r="H18" s="6">
        <f t="shared" si="1"/>
        <v>5</v>
      </c>
      <c r="I18" s="6">
        <f>SUM(I13:I17)</f>
        <v>0.99999999999999989</v>
      </c>
    </row>
    <row r="20" spans="2:12" ht="15">
      <c r="B20" s="7" t="s">
        <v>9</v>
      </c>
      <c r="C20" s="7" t="s">
        <v>10</v>
      </c>
      <c r="D20" s="7" t="s">
        <v>11</v>
      </c>
      <c r="E20" s="7" t="s">
        <v>12</v>
      </c>
      <c r="F20" s="7" t="s">
        <v>13</v>
      </c>
      <c r="G20" s="7" t="s">
        <v>14</v>
      </c>
    </row>
    <row r="21" spans="2:12" ht="15">
      <c r="B21" s="3">
        <f>ROWS(B5:B9)</f>
        <v>5</v>
      </c>
      <c r="C21" s="3">
        <f>C10*I13+D10*I14+E10*I15+F10*I16+G10*I17</f>
        <v>5.2149999999999999</v>
      </c>
      <c r="D21" s="3">
        <f>(C21-B21)/(B21-1)</f>
        <v>5.3749999999999964E-2</v>
      </c>
      <c r="E21" s="3">
        <f>INDEX(L24:L33,MATCH(B21,K24:K33,0))</f>
        <v>1.1200000000000001</v>
      </c>
      <c r="F21" s="3">
        <f>D21/E21</f>
        <v>4.799107142857139E-2</v>
      </c>
      <c r="G21" s="9" t="str">
        <f>IF(F21&lt;0.1,"OK","Review")</f>
        <v>OK</v>
      </c>
    </row>
    <row r="23" spans="2:12" ht="26.1" customHeight="1">
      <c r="B23" s="11" t="s">
        <v>15</v>
      </c>
      <c r="C23" s="11"/>
      <c r="D23" s="11"/>
      <c r="E23" s="11"/>
      <c r="F23" s="11"/>
      <c r="G23" s="11"/>
      <c r="H23" s="11"/>
      <c r="I23" s="11"/>
      <c r="K23" s="8" t="s">
        <v>9</v>
      </c>
      <c r="L23" s="8" t="s">
        <v>12</v>
      </c>
    </row>
    <row r="24" spans="2:12" ht="26.1" customHeight="1">
      <c r="B24" s="11" t="s">
        <v>16</v>
      </c>
      <c r="C24" s="11"/>
      <c r="D24" s="11"/>
      <c r="E24" s="11"/>
      <c r="F24" s="11"/>
      <c r="G24" s="11"/>
      <c r="H24" s="11"/>
      <c r="I24" s="11"/>
      <c r="K24" s="3">
        <v>1</v>
      </c>
      <c r="L24" s="3">
        <v>0</v>
      </c>
    </row>
    <row r="25" spans="2:12">
      <c r="K25" s="3">
        <v>2</v>
      </c>
      <c r="L25" s="3">
        <v>0</v>
      </c>
    </row>
    <row r="26" spans="2:12">
      <c r="K26" s="3">
        <v>3</v>
      </c>
      <c r="L26" s="3">
        <v>0.57999999999999996</v>
      </c>
    </row>
    <row r="27" spans="2:12">
      <c r="K27" s="3">
        <v>4</v>
      </c>
      <c r="L27" s="3">
        <v>0.9</v>
      </c>
    </row>
    <row r="28" spans="2:12">
      <c r="K28" s="3">
        <v>5</v>
      </c>
      <c r="L28" s="3">
        <v>1.1200000000000001</v>
      </c>
    </row>
    <row r="29" spans="2:12">
      <c r="K29" s="3">
        <v>6</v>
      </c>
      <c r="L29" s="3">
        <v>1.24</v>
      </c>
    </row>
    <row r="30" spans="2:12">
      <c r="K30" s="3">
        <v>7</v>
      </c>
      <c r="L30" s="3">
        <v>1.32</v>
      </c>
    </row>
    <row r="31" spans="2:12">
      <c r="K31" s="3">
        <v>8</v>
      </c>
      <c r="L31" s="3">
        <v>1.41</v>
      </c>
    </row>
    <row r="32" spans="2:12">
      <c r="K32" s="3">
        <v>9</v>
      </c>
      <c r="L32" s="3">
        <v>1.45</v>
      </c>
    </row>
    <row r="33" spans="11:12">
      <c r="K33" s="3">
        <v>10</v>
      </c>
      <c r="L33" s="3">
        <v>1.49</v>
      </c>
    </row>
  </sheetData>
  <mergeCells count="3">
    <mergeCell ref="B1:I1"/>
    <mergeCell ref="B23:I23"/>
    <mergeCell ref="B24:I24"/>
  </mergeCells>
  <conditionalFormatting sqref="F21:G21">
    <cfRule type="cellIs" dxfId="1" priority="1" operator="lessThan">
      <formula>0.1</formula>
    </cfRule>
    <cfRule type="cellIs" dxfId="0" priority="2" operator="greaterThanOrEqual">
      <formula>0.1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AHP Weight 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Marino</cp:lastModifiedBy>
  <dcterms:modified xsi:type="dcterms:W3CDTF">2026-04-02T15:49:58Z</dcterms:modified>
</cp:coreProperties>
</file>