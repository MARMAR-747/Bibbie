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BFF1F48F-7021-454F-B567-DB3DA5ECA1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ptimal Pricing Model" sheetId="1" r:id="rId1"/>
    <sheet name="Solver Instructions" sheetId="2" r:id="rId2"/>
  </sheets>
  <definedNames>
    <definedName name="solver_adj" localSheetId="0" hidden="1">'Optimal Pricing Model'!$B$13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'Optimal Pricing Model'!$F$17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B15" i="1"/>
  <c r="B14" i="1"/>
  <c r="B11" i="1"/>
  <c r="G13" i="1" s="1"/>
  <c r="G15" i="1" l="1"/>
  <c r="F15" i="1" s="1"/>
  <c r="F17" i="1" s="1"/>
  <c r="G14" i="1"/>
  <c r="F14" i="1" s="1"/>
  <c r="F13" i="1"/>
  <c r="D13" i="1"/>
  <c r="D15" i="1" l="1"/>
  <c r="D14" i="1"/>
</calcChain>
</file>

<file path=xl/sharedStrings.xml><?xml version="1.0" encoding="utf-8"?>
<sst xmlns="http://schemas.openxmlformats.org/spreadsheetml/2006/main" count="54" uniqueCount="49">
  <si>
    <t>Optimal Pricing Model</t>
  </si>
  <si>
    <t>Apple-Almond Shampoo:</t>
  </si>
  <si>
    <t>Current unit sales</t>
  </si>
  <si>
    <t>Current selling price per unit</t>
  </si>
  <si>
    <t>Variable cost per unit</t>
  </si>
  <si>
    <t>Traceable fixed costs</t>
  </si>
  <si>
    <t>Percentage change in selling price</t>
  </si>
  <si>
    <t>Percentage change in unit sales</t>
  </si>
  <si>
    <t>Implied price elasticity</t>
  </si>
  <si>
    <t>Per Unit</t>
  </si>
  <si>
    <t>Unit Sales</t>
  </si>
  <si>
    <t>Total</t>
  </si>
  <si>
    <t>Sales</t>
  </si>
  <si>
    <t>x</t>
  </si>
  <si>
    <t>=</t>
  </si>
  <si>
    <t>Variable expenses</t>
  </si>
  <si>
    <t>Contribution margin</t>
  </si>
  <si>
    <t>Traceable fixed expenses</t>
  </si>
  <si>
    <t>Net operating income</t>
  </si>
  <si>
    <t>Solver-ready setup</t>
  </si>
  <si>
    <t>Set Objective</t>
  </si>
  <si>
    <t>F17</t>
  </si>
  <si>
    <t>Max</t>
  </si>
  <si>
    <t>By Changing Variable Cell</t>
  </si>
  <si>
    <t>B13</t>
  </si>
  <si>
    <t>Suggested constraint</t>
  </si>
  <si>
    <t>B13&gt;B6</t>
  </si>
  <si>
    <t>Meaning</t>
  </si>
  <si>
    <t>Solver changes the selling price in B13 to maximize net operating income in F17. Column G stores the exact quantity used in the calculations; column D shows the rounded unit sales displayed in the slide.</t>
  </si>
  <si>
    <t>How to run Solver in Excel</t>
  </si>
  <si>
    <t>Step 1</t>
  </si>
  <si>
    <t>Open the sheet 'Optimal Pricing Model'.</t>
  </si>
  <si>
    <t>Step 2</t>
  </si>
  <si>
    <t>Go to Data &gt; Solver.</t>
  </si>
  <si>
    <t>Step 3</t>
  </si>
  <si>
    <t>Set Objective to cell F17.</t>
  </si>
  <si>
    <t>Step 4</t>
  </si>
  <si>
    <t>Choose Max.</t>
  </si>
  <si>
    <t>Step 5</t>
  </si>
  <si>
    <t>Set By Changing Variable Cells to B13.</t>
  </si>
  <si>
    <t>Step 6</t>
  </si>
  <si>
    <t>Add a constraint such as B13 &gt;= B6 so price stays above variable cost.</t>
  </si>
  <si>
    <t>Expected optimum</t>
  </si>
  <si>
    <t>The model is already initialized close to the optimum shown in the slide.</t>
  </si>
  <si>
    <t>Price</t>
  </si>
  <si>
    <t>$ 6,34 (displayed)</t>
  </si>
  <si>
    <t>Unit sales</t>
  </si>
  <si>
    <t>141.467</t>
  </si>
  <si>
    <t>$ 43.547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</si>
</sst>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\$#,##0.00"/>
    <numFmt numFmtId="169" formatCode="\$#,##0"/>
    <numFmt numFmtId="170" formatCode="0.000"/>
    <numFmt numFmtId="171" formatCode="#,##0.000"/>
  </numFmts>
  <fonts count="6">
    <font>
      <sz val="11"/>
      <name val="Carlito"/>
    </font>
    <font>
      <b/>
      <sz val="16"/>
      <name val="Carlito"/>
    </font>
    <font>
      <b/>
      <sz val="11"/>
      <name val="Carlito"/>
    </font>
    <font>
      <b/>
      <sz val="11"/>
      <color rgb="FFC00000"/>
      <name val="Carlito"/>
    </font>
    <font>
      <b/>
      <sz val="15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0" borderId="0" xfId="1" applyFont="1"/>
    <xf numFmtId="0" fontId="2" fillId="3" borderId="0" xfId="1" applyFont="1" applyFill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0" borderId="4" xfId="1" applyFont="1" applyBorder="1"/>
    <xf numFmtId="0" fontId="2" fillId="0" borderId="6" xfId="1" applyFont="1" applyBorder="1"/>
    <xf numFmtId="0" fontId="0" fillId="0" borderId="0" xfId="1" applyFont="1" applyAlignment="1">
      <alignment horizontal="right"/>
    </xf>
    <xf numFmtId="0" fontId="0" fillId="0" borderId="7" xfId="1" applyFont="1" applyBorder="1" applyAlignment="1">
      <alignment horizontal="right"/>
    </xf>
    <xf numFmtId="9" fontId="0" fillId="0" borderId="0" xfId="1" applyNumberFormat="1" applyFont="1"/>
    <xf numFmtId="0" fontId="0" fillId="0" borderId="0" xfId="1" applyFont="1" applyAlignment="1">
      <alignment wrapText="1"/>
    </xf>
    <xf numFmtId="0" fontId="2" fillId="0" borderId="0" xfId="1" applyFont="1" applyAlignment="1">
      <alignment wrapText="1"/>
    </xf>
    <xf numFmtId="168" fontId="0" fillId="0" borderId="0" xfId="1" applyNumberFormat="1" applyFont="1"/>
    <xf numFmtId="168" fontId="3" fillId="4" borderId="0" xfId="1" applyNumberFormat="1" applyFont="1" applyFill="1" applyAlignment="1">
      <alignment horizontal="right"/>
    </xf>
    <xf numFmtId="168" fontId="0" fillId="0" borderId="0" xfId="1" applyNumberFormat="1" applyFont="1" applyAlignment="1">
      <alignment horizontal="right"/>
    </xf>
    <xf numFmtId="169" fontId="0" fillId="0" borderId="0" xfId="1" applyNumberFormat="1" applyFont="1"/>
    <xf numFmtId="169" fontId="0" fillId="0" borderId="5" xfId="1" applyNumberFormat="1" applyFont="1" applyBorder="1" applyAlignment="1">
      <alignment horizontal="right"/>
    </xf>
    <xf numFmtId="169" fontId="3" fillId="5" borderId="8" xfId="1" applyNumberFormat="1" applyFont="1" applyFill="1" applyBorder="1" applyAlignment="1">
      <alignment horizontal="right"/>
    </xf>
    <xf numFmtId="170" fontId="0" fillId="0" borderId="0" xfId="1" applyNumberFormat="1" applyFont="1"/>
    <xf numFmtId="3" fontId="0" fillId="0" borderId="0" xfId="1" applyNumberFormat="1" applyFont="1" applyAlignment="1">
      <alignment horizontal="right"/>
    </xf>
    <xf numFmtId="171" fontId="0" fillId="0" borderId="0" xfId="1" applyNumberFormat="1" applyFont="1"/>
    <xf numFmtId="0" fontId="1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4" fillId="2" borderId="0" xfId="1" applyFont="1" applyFill="1" applyAlignment="1">
      <alignment horizontal="center"/>
    </xf>
    <xf numFmtId="3" fontId="0" fillId="0" borderId="0" xfId="0" applyNumberForma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0" zoomScaleNormal="130" workbookViewId="0">
      <selection activeCell="M14" sqref="M14"/>
    </sheetView>
  </sheetViews>
  <sheetFormatPr defaultRowHeight="14.25"/>
  <cols>
    <col min="1" max="1" width="34" customWidth="1"/>
    <col min="2" max="2" width="14" customWidth="1"/>
    <col min="3" max="3" width="5" customWidth="1"/>
    <col min="4" max="4" width="14" customWidth="1"/>
    <col min="5" max="5" width="5" customWidth="1"/>
    <col min="6" max="6" width="16" customWidth="1"/>
    <col min="7" max="7" width="3" customWidth="1"/>
  </cols>
  <sheetData>
    <row r="1" spans="1:7" ht="24" customHeight="1">
      <c r="A1" s="22" t="s">
        <v>0</v>
      </c>
      <c r="B1" s="22"/>
      <c r="C1" s="22"/>
      <c r="D1" s="22"/>
      <c r="E1" s="22"/>
      <c r="F1" s="22"/>
      <c r="G1" s="22"/>
    </row>
    <row r="3" spans="1:7" ht="15">
      <c r="A3" s="1" t="s">
        <v>1</v>
      </c>
    </row>
    <row r="4" spans="1:7" ht="15">
      <c r="A4" s="1" t="s">
        <v>2</v>
      </c>
      <c r="B4" s="26">
        <v>200000</v>
      </c>
    </row>
    <row r="5" spans="1:7" ht="15">
      <c r="A5" s="1" t="s">
        <v>3</v>
      </c>
      <c r="B5" s="13">
        <v>5</v>
      </c>
    </row>
    <row r="6" spans="1:7" ht="15">
      <c r="A6" s="1" t="s">
        <v>4</v>
      </c>
      <c r="B6" s="13">
        <v>2</v>
      </c>
    </row>
    <row r="7" spans="1:7" ht="15">
      <c r="A7" s="1" t="s">
        <v>5</v>
      </c>
      <c r="B7" s="16">
        <v>570000</v>
      </c>
    </row>
    <row r="8" spans="1:7" ht="15">
      <c r="A8" s="1"/>
    </row>
    <row r="9" spans="1:7" ht="15">
      <c r="A9" s="1" t="s">
        <v>6</v>
      </c>
      <c r="B9" s="10">
        <v>0.1</v>
      </c>
    </row>
    <row r="10" spans="1:7" ht="15">
      <c r="A10" s="1" t="s">
        <v>7</v>
      </c>
      <c r="B10" s="10">
        <v>-0.13</v>
      </c>
    </row>
    <row r="11" spans="1:7" ht="15">
      <c r="A11" s="1" t="s">
        <v>8</v>
      </c>
      <c r="B11" s="19">
        <f>LN(1+B10)/LN(1+B9)</f>
        <v>-1.4611457833719068</v>
      </c>
    </row>
    <row r="12" spans="1:7" ht="15">
      <c r="A12" s="3"/>
      <c r="B12" s="4" t="s">
        <v>9</v>
      </c>
      <c r="C12" s="4"/>
      <c r="D12" s="4" t="s">
        <v>10</v>
      </c>
      <c r="E12" s="4"/>
      <c r="F12" s="5" t="s">
        <v>11</v>
      </c>
      <c r="G12" s="2"/>
    </row>
    <row r="13" spans="1:7" ht="15">
      <c r="A13" s="6" t="s">
        <v>12</v>
      </c>
      <c r="B13" s="14">
        <v>6.3370232844285415</v>
      </c>
      <c r="C13" s="8" t="s">
        <v>13</v>
      </c>
      <c r="D13" s="20">
        <f>ROUND(G13,0)</f>
        <v>141467</v>
      </c>
      <c r="E13" s="8" t="s">
        <v>14</v>
      </c>
      <c r="F13" s="17">
        <f>B13*G13</f>
        <v>896480.9060074439</v>
      </c>
      <c r="G13" s="21">
        <f>$B$4*(B13/$B$5)^$B$11</f>
        <v>141467.19457545539</v>
      </c>
    </row>
    <row r="14" spans="1:7" ht="15">
      <c r="A14" s="6" t="s">
        <v>15</v>
      </c>
      <c r="B14" s="15">
        <f>$B$6</f>
        <v>2</v>
      </c>
      <c r="C14" s="8" t="s">
        <v>13</v>
      </c>
      <c r="D14" s="20">
        <f>D13</f>
        <v>141467</v>
      </c>
      <c r="E14" s="8" t="s">
        <v>14</v>
      </c>
      <c r="F14" s="17">
        <f>B14*G14</f>
        <v>282934.38915091078</v>
      </c>
      <c r="G14" s="21">
        <f>G13</f>
        <v>141467.19457545539</v>
      </c>
    </row>
    <row r="15" spans="1:7" ht="15">
      <c r="A15" s="6" t="s">
        <v>16</v>
      </c>
      <c r="B15" s="15">
        <f>B13-B14</f>
        <v>4.3370232844285415</v>
      </c>
      <c r="C15" s="8" t="s">
        <v>13</v>
      </c>
      <c r="D15" s="20">
        <f>D13</f>
        <v>141467</v>
      </c>
      <c r="E15" s="8" t="s">
        <v>14</v>
      </c>
      <c r="F15" s="17">
        <f>B15*G15</f>
        <v>613546.51685653313</v>
      </c>
      <c r="G15" s="21">
        <f>G13</f>
        <v>141467.19457545539</v>
      </c>
    </row>
    <row r="16" spans="1:7" ht="15">
      <c r="A16" s="6" t="s">
        <v>17</v>
      </c>
      <c r="B16" s="8"/>
      <c r="C16" s="8"/>
      <c r="D16" s="8"/>
      <c r="E16" s="8"/>
      <c r="F16" s="17">
        <f>$B$7</f>
        <v>570000</v>
      </c>
    </row>
    <row r="17" spans="1:7" ht="15">
      <c r="A17" s="7" t="s">
        <v>18</v>
      </c>
      <c r="B17" s="9"/>
      <c r="C17" s="9"/>
      <c r="D17" s="9"/>
      <c r="E17" s="9"/>
      <c r="F17" s="18">
        <f>F15-F16</f>
        <v>43546.516856533126</v>
      </c>
    </row>
    <row r="19" spans="1:7" ht="15">
      <c r="A19" s="23" t="s">
        <v>19</v>
      </c>
      <c r="B19" s="23"/>
      <c r="C19" s="23"/>
      <c r="D19" s="23"/>
      <c r="E19" s="23"/>
      <c r="F19" s="23"/>
      <c r="G19" s="23"/>
    </row>
    <row r="20" spans="1:7" ht="15">
      <c r="A20" s="1" t="s">
        <v>20</v>
      </c>
      <c r="B20" t="s">
        <v>21</v>
      </c>
      <c r="C20" t="s">
        <v>22</v>
      </c>
    </row>
    <row r="21" spans="1:7" ht="15">
      <c r="A21" s="1" t="s">
        <v>23</v>
      </c>
      <c r="B21" t="s">
        <v>24</v>
      </c>
    </row>
    <row r="22" spans="1:7" ht="15">
      <c r="A22" s="1" t="s">
        <v>25</v>
      </c>
      <c r="B22" t="s">
        <v>26</v>
      </c>
    </row>
    <row r="23" spans="1:7" ht="59.25" customHeight="1">
      <c r="A23" s="1" t="s">
        <v>27</v>
      </c>
      <c r="B23" s="24" t="s">
        <v>28</v>
      </c>
      <c r="C23" s="24"/>
      <c r="D23" s="24"/>
      <c r="E23" s="24"/>
      <c r="F23" s="24"/>
      <c r="G23" s="24"/>
    </row>
  </sheetData>
  <mergeCells count="3">
    <mergeCell ref="A1:G1"/>
    <mergeCell ref="A19:G19"/>
    <mergeCell ref="B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/>
  <cols>
    <col min="1" max="1" width="18" customWidth="1"/>
    <col min="2" max="2" width="60" customWidth="1"/>
  </cols>
  <sheetData>
    <row r="1" spans="1:6" ht="19.5">
      <c r="A1" s="25" t="s">
        <v>29</v>
      </c>
      <c r="B1" s="25"/>
      <c r="C1" s="25"/>
      <c r="D1" s="25"/>
      <c r="E1" s="25"/>
      <c r="F1" s="25"/>
    </row>
    <row r="3" spans="1:6" ht="15">
      <c r="A3" s="12" t="s">
        <v>30</v>
      </c>
      <c r="B3" s="11" t="s">
        <v>31</v>
      </c>
    </row>
    <row r="4" spans="1:6" ht="15">
      <c r="A4" s="12" t="s">
        <v>32</v>
      </c>
      <c r="B4" s="11" t="s">
        <v>33</v>
      </c>
    </row>
    <row r="5" spans="1:6" ht="15">
      <c r="A5" s="12" t="s">
        <v>34</v>
      </c>
      <c r="B5" s="11" t="s">
        <v>35</v>
      </c>
    </row>
    <row r="6" spans="1:6" ht="15">
      <c r="A6" s="12" t="s">
        <v>36</v>
      </c>
      <c r="B6" s="11" t="s">
        <v>37</v>
      </c>
    </row>
    <row r="7" spans="1:6" ht="15">
      <c r="A7" s="12" t="s">
        <v>38</v>
      </c>
      <c r="B7" s="11" t="s">
        <v>39</v>
      </c>
    </row>
    <row r="8" spans="1:6" ht="29.25">
      <c r="A8" s="12" t="s">
        <v>40</v>
      </c>
      <c r="B8" s="11" t="s">
        <v>41</v>
      </c>
    </row>
    <row r="9" spans="1:6">
      <c r="A9" s="11"/>
      <c r="B9" s="11"/>
    </row>
    <row r="10" spans="1:6" ht="29.25">
      <c r="A10" s="12" t="s">
        <v>42</v>
      </c>
      <c r="B10" s="11" t="s">
        <v>43</v>
      </c>
    </row>
    <row r="11" spans="1:6" ht="15">
      <c r="A11" s="12" t="s">
        <v>44</v>
      </c>
      <c r="B11" s="11" t="s">
        <v>45</v>
      </c>
    </row>
    <row r="12" spans="1:6" ht="15">
      <c r="A12" s="12" t="s">
        <v>46</v>
      </c>
      <c r="B12" s="11" t="s">
        <v>47</v>
      </c>
    </row>
    <row r="13" spans="1:6" ht="30">
      <c r="A13" s="12" t="s">
        <v>18</v>
      </c>
      <c r="B13" s="11" t="s">
        <v>48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Optimal Pricing Model</vt:lpstr>
      <vt:lpstr>Solver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Marino</cp:lastModifiedBy>
  <dcterms:modified xsi:type="dcterms:W3CDTF">2026-04-08T15:17:00Z</dcterms:modified>
</cp:coreProperties>
</file>